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" yWindow="600" windowWidth="21990" windowHeight="9630"/>
  </bookViews>
  <sheets>
    <sheet name="TNFC Ore Calculator" sheetId="1" r:id="rId1"/>
    <sheet name="Sheet2" sheetId="2" r:id="rId2"/>
  </sheets>
  <definedNames>
    <definedName name="TotalUnits">'TNFC Ore Calculator'!$G$13</definedName>
  </definedNames>
  <calcPr calcId="125725"/>
  <fileRecoveryPr repairLoad="1"/>
</workbook>
</file>

<file path=xl/calcChain.xml><?xml version="1.0" encoding="utf-8"?>
<calcChain xmlns="http://schemas.openxmlformats.org/spreadsheetml/2006/main">
  <c r="C44" i="1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3"/>
  <c r="C12"/>
  <c r="C14"/>
  <c r="C11"/>
  <c r="C10"/>
  <c r="C54"/>
  <c r="D54" s="1"/>
  <c r="C53"/>
  <c r="D53" s="1"/>
  <c r="C52"/>
  <c r="D52" s="1"/>
  <c r="C51"/>
  <c r="D51" s="1"/>
  <c r="C50"/>
  <c r="D50" s="1"/>
  <c r="C49"/>
  <c r="D49" s="1"/>
  <c r="C48"/>
  <c r="D48" s="1"/>
  <c r="D32" l="1"/>
  <c r="D37"/>
  <c r="D27"/>
  <c r="D22"/>
  <c r="D17"/>
  <c r="D12"/>
  <c r="D42"/>
  <c r="G13" l="1"/>
  <c r="E51" s="1"/>
  <c r="K26" s="1"/>
  <c r="E53" l="1"/>
  <c r="K34" s="1"/>
  <c r="B64" i="2" s="1"/>
  <c r="E21" i="1"/>
  <c r="K8" s="1"/>
  <c r="B10" i="2" s="1"/>
  <c r="E31" i="1"/>
  <c r="K11" s="1"/>
  <c r="E41"/>
  <c r="K25" s="1"/>
  <c r="B45" i="2" s="1"/>
  <c r="E48" i="1"/>
  <c r="K36" s="1"/>
  <c r="E26"/>
  <c r="K7" s="1"/>
  <c r="E52"/>
  <c r="K35" s="1"/>
  <c r="B65" i="2" s="1"/>
  <c r="E49" i="1"/>
  <c r="K33" s="1"/>
  <c r="B62" i="2" s="1"/>
  <c r="E36" i="1"/>
  <c r="K12" s="1"/>
  <c r="E54"/>
  <c r="K30" s="1"/>
  <c r="B56" i="2" s="1"/>
  <c r="E11" i="1"/>
  <c r="K13" s="1"/>
  <c r="E16"/>
  <c r="K4" s="1"/>
  <c r="B3" i="2" s="1"/>
  <c r="E50" i="1"/>
  <c r="K29" s="1"/>
  <c r="B54" i="2" s="1"/>
  <c r="B47"/>
  <c r="B48"/>
  <c r="B63" l="1"/>
  <c r="K15" i="1"/>
  <c r="B25" i="2" s="1"/>
  <c r="B9"/>
  <c r="K31" i="1"/>
  <c r="B57" i="2" s="1"/>
  <c r="K18" i="1"/>
  <c r="B31" i="2" s="1"/>
  <c r="B53"/>
  <c r="K24" i="1"/>
  <c r="L24" s="1"/>
  <c r="B49" i="2" s="1"/>
  <c r="K21" i="1"/>
  <c r="B37" i="2" s="1"/>
  <c r="K5" i="1"/>
  <c r="B6" i="2" s="1"/>
  <c r="B66"/>
  <c r="B4"/>
  <c r="K28" i="1"/>
  <c r="B46" i="2"/>
  <c r="B55"/>
  <c r="K22" i="1"/>
  <c r="B39" i="2" s="1"/>
  <c r="K16" i="1"/>
  <c r="B28" i="2" s="1"/>
  <c r="K19" i="1"/>
  <c r="B34" i="2" s="1"/>
  <c r="K9" i="1"/>
  <c r="B13" i="2" s="1"/>
  <c r="B19"/>
  <c r="B20"/>
  <c r="B21"/>
  <c r="B22"/>
  <c r="B14"/>
  <c r="B11"/>
  <c r="B12"/>
  <c r="B17"/>
  <c r="B18"/>
  <c r="L11" i="1"/>
  <c r="B23" i="2" s="1"/>
  <c r="B67"/>
  <c r="B68"/>
  <c r="B58"/>
  <c r="B61"/>
  <c r="L33" i="1"/>
  <c r="B69" i="2" s="1"/>
  <c r="B51" l="1"/>
  <c r="B52"/>
  <c r="L4" i="1"/>
  <c r="B7" i="2" s="1"/>
  <c r="L7" i="1"/>
  <c r="B15" i="2" s="1"/>
  <c r="E11" s="1"/>
  <c r="L18" i="1"/>
  <c r="B35" i="2" s="1"/>
  <c r="L15" i="1"/>
  <c r="B29" i="2" s="1"/>
  <c r="B26"/>
  <c r="B38"/>
  <c r="B43"/>
  <c r="B32"/>
  <c r="B44"/>
  <c r="L21" i="1"/>
  <c r="B41" i="2" s="1"/>
  <c r="B5"/>
  <c r="B27"/>
  <c r="B40"/>
  <c r="L28" i="1"/>
  <c r="B59" i="2" s="1"/>
  <c r="B33"/>
  <c r="E63"/>
  <c r="E19"/>
  <c r="E53" l="1"/>
  <c r="E33"/>
  <c r="E5"/>
  <c r="E27"/>
  <c r="E39"/>
  <c r="E45"/>
  <c r="G17" i="1" l="1"/>
</calcChain>
</file>

<file path=xl/sharedStrings.xml><?xml version="1.0" encoding="utf-8"?>
<sst xmlns="http://schemas.openxmlformats.org/spreadsheetml/2006/main" count="207" uniqueCount="146">
  <si>
    <t>How To Use:</t>
  </si>
  <si>
    <t>Modify Quantity Slot Accordingly, The Calculator Will Automatically</t>
  </si>
  <si>
    <t>Show The Resulting Percentage For The Alloy.  List Of Percentages</t>
  </si>
  <si>
    <t>Alloy:</t>
  </si>
  <si>
    <t>Required Metals:</t>
  </si>
  <si>
    <t>Percentage Of Metal</t>
  </si>
  <si>
    <t>Current Percentage</t>
  </si>
  <si>
    <t>Total Percent?</t>
  </si>
  <si>
    <t>(Total Percent Is To Ensure That You</t>
  </si>
  <si>
    <t>For Resulting Alloys Is To the Right Of The Calculator.</t>
  </si>
  <si>
    <t>Bronze</t>
  </si>
  <si>
    <t>Tin</t>
  </si>
  <si>
    <t>8-12%</t>
  </si>
  <si>
    <t>Don't Have Any Extra Metals Mixed</t>
  </si>
  <si>
    <t>Copper</t>
  </si>
  <si>
    <t>88-92%</t>
  </si>
  <si>
    <t>Into The Alloy)</t>
  </si>
  <si>
    <t>Happy Calculating!</t>
  </si>
  <si>
    <t>Bismuth Bronze:</t>
  </si>
  <si>
    <t>Zinc</t>
  </si>
  <si>
    <t>20-30%</t>
  </si>
  <si>
    <t>Bismuth</t>
  </si>
  <si>
    <t>10-20%</t>
  </si>
  <si>
    <t>Type:</t>
  </si>
  <si>
    <t>Quantity</t>
  </si>
  <si>
    <t>Units Total</t>
  </si>
  <si>
    <t>Total Of Metal</t>
  </si>
  <si>
    <t>50-65%</t>
  </si>
  <si>
    <t>Small Copper</t>
  </si>
  <si>
    <t>Poor Copper</t>
  </si>
  <si>
    <t>Copper:</t>
  </si>
  <si>
    <t>Black Bronze:</t>
  </si>
  <si>
    <t>Gold</t>
  </si>
  <si>
    <t>10-25%</t>
  </si>
  <si>
    <t>Reg Copper</t>
  </si>
  <si>
    <t>Total Units Of Metal:</t>
  </si>
  <si>
    <t>Silver</t>
  </si>
  <si>
    <t>Rich Copper</t>
  </si>
  <si>
    <t>50-70%</t>
  </si>
  <si>
    <t>Copper Ingot</t>
  </si>
  <si>
    <t>Small Cass</t>
  </si>
  <si>
    <t>Brass:</t>
  </si>
  <si>
    <t>Poor Cass</t>
  </si>
  <si>
    <t>Tin:</t>
  </si>
  <si>
    <t>Resulting Alloy</t>
  </si>
  <si>
    <t>Reg Cass</t>
  </si>
  <si>
    <t>Rich Cass</t>
  </si>
  <si>
    <t>Sterling Silver:</t>
  </si>
  <si>
    <t>60-80%</t>
  </si>
  <si>
    <t>Tin Ingot</t>
  </si>
  <si>
    <t>20-40%</t>
  </si>
  <si>
    <t>Small Bismuth</t>
  </si>
  <si>
    <t>Poor Bismuth</t>
  </si>
  <si>
    <t>Bismuth:</t>
  </si>
  <si>
    <t>Rose Gold:</t>
  </si>
  <si>
    <t>70-85%</t>
  </si>
  <si>
    <t>Reg Bismuth</t>
  </si>
  <si>
    <t>15-30%</t>
  </si>
  <si>
    <t>Rich Bismuth</t>
  </si>
  <si>
    <t>Bismuth Ingot</t>
  </si>
  <si>
    <t>Weak Black Steel</t>
  </si>
  <si>
    <t>Steel</t>
  </si>
  <si>
    <t>Small Sphal</t>
  </si>
  <si>
    <t>Nickel</t>
  </si>
  <si>
    <t>15-25%</t>
  </si>
  <si>
    <t>Poor Sphal</t>
  </si>
  <si>
    <t>Zinc:</t>
  </si>
  <si>
    <t>Black Bronze</t>
  </si>
  <si>
    <t>Reg Sphal</t>
  </si>
  <si>
    <t>Rich Sphal</t>
  </si>
  <si>
    <t>Weak Blue Steel</t>
  </si>
  <si>
    <t>Black Steel</t>
  </si>
  <si>
    <t>Zinc Ingot</t>
  </si>
  <si>
    <t>Bismuth Bronze</t>
  </si>
  <si>
    <t>10-15%</t>
  </si>
  <si>
    <t>Small Gold</t>
  </si>
  <si>
    <t>Sterling Silver</t>
  </si>
  <si>
    <t>Poor Gold</t>
  </si>
  <si>
    <t>Gold:</t>
  </si>
  <si>
    <t>20-25%</t>
  </si>
  <si>
    <t>Reg Gold</t>
  </si>
  <si>
    <t>Rich Gold</t>
  </si>
  <si>
    <t>Weak Red Steel</t>
  </si>
  <si>
    <t>Gold Ingot</t>
  </si>
  <si>
    <t>Rose Gold</t>
  </si>
  <si>
    <t>Small Silver</t>
  </si>
  <si>
    <t>Brass</t>
  </si>
  <si>
    <t>Poor Silver</t>
  </si>
  <si>
    <t>Silver:</t>
  </si>
  <si>
    <t>Reg Silver</t>
  </si>
  <si>
    <t>Rich Silver</t>
  </si>
  <si>
    <t>Silver Ingot</t>
  </si>
  <si>
    <t>Small Garn</t>
  </si>
  <si>
    <t>Poor Garn</t>
  </si>
  <si>
    <t>Nickel:</t>
  </si>
  <si>
    <t>Reg Garn</t>
  </si>
  <si>
    <t>Rich Garn</t>
  </si>
  <si>
    <t>Nickel Ingot</t>
  </si>
  <si>
    <t>Misc Ingots:</t>
  </si>
  <si>
    <t>Bronze:</t>
  </si>
  <si>
    <t>Tin Greater</t>
  </si>
  <si>
    <t>Tin Lesser</t>
  </si>
  <si>
    <t>Copper Greater</t>
  </si>
  <si>
    <t>Copper Lesser</t>
  </si>
  <si>
    <t>Adds To 100%?</t>
  </si>
  <si>
    <t>Bis Bronze:</t>
  </si>
  <si>
    <t>Bismuth Greater</t>
  </si>
  <si>
    <t>Bismuth Lesser</t>
  </si>
  <si>
    <t>Zinc Greater</t>
  </si>
  <si>
    <t>Zince Lesser</t>
  </si>
  <si>
    <t>Gold Greater</t>
  </si>
  <si>
    <t>Gold Lesser</t>
  </si>
  <si>
    <t>Silver Greater</t>
  </si>
  <si>
    <t>Silver Lesser</t>
  </si>
  <si>
    <t>Zinc Lesser</t>
  </si>
  <si>
    <t>Sterling SIlver:</t>
  </si>
  <si>
    <t>Black Steel:</t>
  </si>
  <si>
    <t>Steel Greater</t>
  </si>
  <si>
    <t>Steel Lesser</t>
  </si>
  <si>
    <t>Nickel Greater</t>
  </si>
  <si>
    <t>Nickel Lesser</t>
  </si>
  <si>
    <t>Bl Bronze Great</t>
  </si>
  <si>
    <t>Bl Bronze Less</t>
  </si>
  <si>
    <t>Blue Steel:</t>
  </si>
  <si>
    <t>Bla Steel Great</t>
  </si>
  <si>
    <t>Bla Steel Less</t>
  </si>
  <si>
    <t>Bis Bronze Gre</t>
  </si>
  <si>
    <t>Bis Bronze Less</t>
  </si>
  <si>
    <t>Ster Silver Gre</t>
  </si>
  <si>
    <t>Ster Silver Less</t>
  </si>
  <si>
    <t>Red Steel:</t>
  </si>
  <si>
    <t>R Gold Greater</t>
  </si>
  <si>
    <t>R Gold Lesser</t>
  </si>
  <si>
    <t>Brass Greater</t>
  </si>
  <si>
    <t>Brass Lesser</t>
  </si>
  <si>
    <t>50-55%</t>
  </si>
  <si>
    <t xml:space="preserve">Armor Set: </t>
  </si>
  <si>
    <t>Dbl Sheet:</t>
  </si>
  <si>
    <t>Single Sheet</t>
  </si>
  <si>
    <t>Total Ingots:</t>
  </si>
  <si>
    <t>Ore Size</t>
  </si>
  <si>
    <t>Small</t>
  </si>
  <si>
    <t>Poor</t>
  </si>
  <si>
    <t>Regular</t>
  </si>
  <si>
    <t>Rich</t>
  </si>
  <si>
    <t>Ingot</t>
  </si>
</sst>
</file>

<file path=xl/styles.xml><?xml version="1.0" encoding="utf-8"?>
<styleSheet xmlns="http://schemas.openxmlformats.org/spreadsheetml/2006/main">
  <fonts count="15">
    <font>
      <sz val="10"/>
      <color rgb="FF000000"/>
      <name val="Arial"/>
    </font>
    <font>
      <b/>
      <sz val="10"/>
      <name val="Arial"/>
    </font>
    <font>
      <b/>
      <u/>
      <sz val="10"/>
      <name val="Arial"/>
    </font>
    <font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u/>
      <sz val="10"/>
      <name val="Arial"/>
    </font>
    <font>
      <b/>
      <u/>
      <sz val="10"/>
      <name val="Arial"/>
    </font>
    <font>
      <sz val="10"/>
      <color rgb="FF000000"/>
      <name val="Arial"/>
    </font>
    <font>
      <b/>
      <u/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B45F06"/>
        <bgColor rgb="FFB45F06"/>
      </patternFill>
    </fill>
    <fill>
      <patternFill patternType="solid">
        <fgColor rgb="FFD9D9D9"/>
        <bgColor rgb="FFD9D9D9"/>
      </patternFill>
    </fill>
    <fill>
      <patternFill patternType="solid">
        <fgColor rgb="FF45818E"/>
        <bgColor rgb="FF45818E"/>
      </patternFill>
    </fill>
    <fill>
      <patternFill patternType="solid">
        <fgColor rgb="FFF3F3F3"/>
        <bgColor rgb="FFF3F3F3"/>
      </patternFill>
    </fill>
    <fill>
      <patternFill patternType="solid">
        <fgColor rgb="FFFFD966"/>
        <bgColor rgb="FFFFD966"/>
      </patternFill>
    </fill>
    <fill>
      <patternFill patternType="solid">
        <fgColor rgb="FFB6D7A8"/>
        <bgColor rgb="FFB6D7A8"/>
      </patternFill>
    </fill>
    <fill>
      <patternFill patternType="solid">
        <fgColor rgb="FFB7B7B7"/>
        <bgColor rgb="FFB7B7B7"/>
      </patternFill>
    </fill>
    <fill>
      <patternFill patternType="solid">
        <fgColor rgb="FF666666"/>
        <bgColor rgb="FF666666"/>
      </patternFill>
    </fill>
    <fill>
      <patternFill patternType="solid">
        <fgColor rgb="FF38761D"/>
        <bgColor rgb="FF38761D"/>
      </patternFill>
    </fill>
    <fill>
      <patternFill patternType="solid">
        <fgColor rgb="FF674EA7"/>
        <bgColor rgb="FF674EA7"/>
      </patternFill>
    </fill>
    <fill>
      <patternFill patternType="solid">
        <fgColor rgb="FFFFE599"/>
        <bgColor rgb="FFFFE599"/>
      </patternFill>
    </fill>
    <fill>
      <patternFill patternType="solid">
        <fgColor rgb="FFE69138"/>
        <bgColor rgb="FFE69138"/>
      </patternFill>
    </fill>
    <fill>
      <patternFill patternType="solid">
        <fgColor rgb="FFCFE2F3"/>
        <bgColor rgb="FFCFE2F3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0" fontId="3" fillId="0" borderId="0" xfId="0" applyFont="1" applyAlignment="1"/>
    <xf numFmtId="0" fontId="3" fillId="0" borderId="2" xfId="0" applyFont="1" applyBorder="1" applyAlignment="1"/>
    <xf numFmtId="0" fontId="4" fillId="0" borderId="3" xfId="0" applyFont="1" applyBorder="1" applyAlignment="1"/>
    <xf numFmtId="0" fontId="5" fillId="0" borderId="4" xfId="0" applyFont="1" applyBorder="1" applyAlignment="1"/>
    <xf numFmtId="0" fontId="3" fillId="0" borderId="5" xfId="0" applyFont="1" applyBorder="1" applyAlignment="1"/>
    <xf numFmtId="0" fontId="6" fillId="0" borderId="6" xfId="0" applyFont="1" applyBorder="1" applyAlignment="1"/>
    <xf numFmtId="0" fontId="3" fillId="0" borderId="7" xfId="0" applyFont="1" applyBorder="1" applyAlignment="1"/>
    <xf numFmtId="0" fontId="7" fillId="0" borderId="8" xfId="0" applyFont="1" applyBorder="1" applyAlignment="1"/>
    <xf numFmtId="0" fontId="8" fillId="0" borderId="9" xfId="0" applyFont="1" applyBorder="1" applyAlignment="1"/>
    <xf numFmtId="0" fontId="3" fillId="0" borderId="1" xfId="0" applyFont="1" applyBorder="1" applyAlignment="1"/>
    <xf numFmtId="10" fontId="3" fillId="0" borderId="1" xfId="0" applyNumberFormat="1" applyFont="1" applyBorder="1"/>
    <xf numFmtId="0" fontId="1" fillId="0" borderId="0" xfId="0" applyFont="1" applyAlignment="1"/>
    <xf numFmtId="0" fontId="3" fillId="0" borderId="1" xfId="0" applyFont="1" applyBorder="1"/>
    <xf numFmtId="0" fontId="1" fillId="0" borderId="0" xfId="0" applyFont="1"/>
    <xf numFmtId="10" fontId="10" fillId="0" borderId="0" xfId="0" applyNumberFormat="1" applyFont="1" applyAlignment="1"/>
    <xf numFmtId="0" fontId="1" fillId="2" borderId="1" xfId="0" applyFont="1" applyFill="1" applyBorder="1" applyAlignment="1"/>
    <xf numFmtId="0" fontId="3" fillId="2" borderId="1" xfId="0" applyFont="1" applyFill="1" applyBorder="1" applyAlignment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1" fillId="3" borderId="1" xfId="0" applyFont="1" applyFill="1" applyBorder="1" applyAlignment="1"/>
    <xf numFmtId="0" fontId="3" fillId="3" borderId="1" xfId="0" applyFont="1" applyFill="1" applyBorder="1" applyAlignment="1"/>
    <xf numFmtId="0" fontId="3" fillId="3" borderId="1" xfId="0" applyFont="1" applyFill="1" applyBorder="1"/>
    <xf numFmtId="10" fontId="3" fillId="3" borderId="1" xfId="0" applyNumberFormat="1" applyFont="1" applyFill="1" applyBorder="1"/>
    <xf numFmtId="10" fontId="11" fillId="0" borderId="1" xfId="0" applyNumberFormat="1" applyFont="1" applyBorder="1"/>
    <xf numFmtId="0" fontId="1" fillId="0" borderId="1" xfId="0" applyFont="1" applyBorder="1" applyAlignment="1"/>
    <xf numFmtId="0" fontId="3" fillId="0" borderId="10" xfId="0" applyFont="1" applyBorder="1" applyAlignment="1">
      <alignment horizontal="center"/>
    </xf>
    <xf numFmtId="10" fontId="3" fillId="0" borderId="1" xfId="0" applyNumberFormat="1" applyFont="1" applyBorder="1" applyAlignment="1"/>
    <xf numFmtId="0" fontId="1" fillId="4" borderId="1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/>
    <xf numFmtId="10" fontId="3" fillId="4" borderId="1" xfId="0" applyNumberFormat="1" applyFont="1" applyFill="1" applyBorder="1"/>
    <xf numFmtId="0" fontId="1" fillId="5" borderId="1" xfId="0" applyFont="1" applyFill="1" applyBorder="1" applyAlignment="1"/>
    <xf numFmtId="0" fontId="3" fillId="5" borderId="1" xfId="0" applyFont="1" applyFill="1" applyBorder="1"/>
    <xf numFmtId="10" fontId="3" fillId="5" borderId="1" xfId="0" applyNumberFormat="1" applyFont="1" applyFill="1" applyBorder="1"/>
    <xf numFmtId="0" fontId="1" fillId="6" borderId="1" xfId="0" applyFont="1" applyFill="1" applyBorder="1" applyAlignment="1"/>
    <xf numFmtId="0" fontId="3" fillId="6" borderId="1" xfId="0" applyFont="1" applyFill="1" applyBorder="1"/>
    <xf numFmtId="10" fontId="3" fillId="6" borderId="1" xfId="0" applyNumberFormat="1" applyFont="1" applyFill="1" applyBorder="1"/>
    <xf numFmtId="0" fontId="1" fillId="7" borderId="1" xfId="0" applyFont="1" applyFill="1" applyBorder="1" applyAlignment="1"/>
    <xf numFmtId="0" fontId="3" fillId="7" borderId="1" xfId="0" applyFont="1" applyFill="1" applyBorder="1"/>
    <xf numFmtId="10" fontId="3" fillId="7" borderId="1" xfId="0" applyNumberFormat="1" applyFont="1" applyFill="1" applyBorder="1"/>
    <xf numFmtId="10" fontId="3" fillId="0" borderId="0" xfId="0" applyNumberFormat="1" applyFont="1"/>
    <xf numFmtId="0" fontId="12" fillId="0" borderId="1" xfId="0" applyFont="1" applyBorder="1" applyAlignment="1"/>
    <xf numFmtId="0" fontId="1" fillId="8" borderId="1" xfId="0" applyFont="1" applyFill="1" applyBorder="1" applyAlignment="1"/>
    <xf numFmtId="0" fontId="3" fillId="8" borderId="1" xfId="0" applyFont="1" applyFill="1" applyBorder="1"/>
    <xf numFmtId="10" fontId="3" fillId="8" borderId="1" xfId="0" applyNumberFormat="1" applyFont="1" applyFill="1" applyBorder="1"/>
    <xf numFmtId="0" fontId="1" fillId="9" borderId="1" xfId="0" applyFont="1" applyFill="1" applyBorder="1" applyAlignment="1"/>
    <xf numFmtId="0" fontId="3" fillId="9" borderId="1" xfId="0" applyFont="1" applyFill="1" applyBorder="1"/>
    <xf numFmtId="10" fontId="3" fillId="9" borderId="1" xfId="0" applyNumberFormat="1" applyFont="1" applyFill="1" applyBorder="1"/>
    <xf numFmtId="0" fontId="1" fillId="10" borderId="1" xfId="0" applyFont="1" applyFill="1" applyBorder="1" applyAlignment="1"/>
    <xf numFmtId="0" fontId="3" fillId="10" borderId="1" xfId="0" applyFont="1" applyFill="1" applyBorder="1"/>
    <xf numFmtId="10" fontId="3" fillId="10" borderId="1" xfId="0" applyNumberFormat="1" applyFont="1" applyFill="1" applyBorder="1"/>
    <xf numFmtId="0" fontId="1" fillId="11" borderId="1" xfId="0" applyFont="1" applyFill="1" applyBorder="1" applyAlignment="1"/>
    <xf numFmtId="0" fontId="3" fillId="11" borderId="1" xfId="0" applyFont="1" applyFill="1" applyBorder="1"/>
    <xf numFmtId="10" fontId="3" fillId="11" borderId="1" xfId="0" applyNumberFormat="1" applyFont="1" applyFill="1" applyBorder="1"/>
    <xf numFmtId="0" fontId="1" fillId="12" borderId="1" xfId="0" applyFont="1" applyFill="1" applyBorder="1" applyAlignment="1"/>
    <xf numFmtId="0" fontId="3" fillId="12" borderId="1" xfId="0" applyFont="1" applyFill="1" applyBorder="1"/>
    <xf numFmtId="10" fontId="3" fillId="12" borderId="1" xfId="0" applyNumberFormat="1" applyFont="1" applyFill="1" applyBorder="1"/>
    <xf numFmtId="0" fontId="1" fillId="13" borderId="1" xfId="0" applyFont="1" applyFill="1" applyBorder="1" applyAlignment="1"/>
    <xf numFmtId="0" fontId="3" fillId="13" borderId="1" xfId="0" applyFont="1" applyFill="1" applyBorder="1"/>
    <xf numFmtId="10" fontId="3" fillId="13" borderId="1" xfId="0" applyNumberFormat="1" applyFont="1" applyFill="1" applyBorder="1"/>
    <xf numFmtId="0" fontId="1" fillId="14" borderId="1" xfId="0" applyFont="1" applyFill="1" applyBorder="1" applyAlignment="1"/>
    <xf numFmtId="0" fontId="3" fillId="14" borderId="1" xfId="0" applyFont="1" applyFill="1" applyBorder="1"/>
    <xf numFmtId="10" fontId="3" fillId="14" borderId="1" xfId="0" applyNumberFormat="1" applyFont="1" applyFill="1" applyBorder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0" fillId="0" borderId="0" xfId="0" applyFont="1" applyAlignment="1" applyProtection="1">
      <protection locked="0"/>
    </xf>
    <xf numFmtId="0" fontId="3" fillId="2" borderId="1" xfId="0" applyFont="1" applyFill="1" applyBorder="1" applyAlignment="1" applyProtection="1">
      <protection locked="0"/>
    </xf>
    <xf numFmtId="0" fontId="3" fillId="3" borderId="1" xfId="0" applyFont="1" applyFill="1" applyBorder="1" applyAlignment="1" applyProtection="1">
      <protection locked="0"/>
    </xf>
    <xf numFmtId="0" fontId="3" fillId="4" borderId="1" xfId="0" applyFont="1" applyFill="1" applyBorder="1" applyAlignment="1" applyProtection="1">
      <protection locked="0"/>
    </xf>
    <xf numFmtId="0" fontId="3" fillId="5" borderId="1" xfId="0" applyFont="1" applyFill="1" applyBorder="1" applyAlignment="1" applyProtection="1">
      <protection locked="0"/>
    </xf>
    <xf numFmtId="0" fontId="3" fillId="6" borderId="1" xfId="0" applyFont="1" applyFill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3" fillId="7" borderId="1" xfId="0" applyFont="1" applyFill="1" applyBorder="1" applyAlignment="1" applyProtection="1">
      <protection locked="0"/>
    </xf>
    <xf numFmtId="0" fontId="3" fillId="0" borderId="0" xfId="0" applyFont="1" applyAlignment="1" applyProtection="1">
      <protection locked="0"/>
    </xf>
    <xf numFmtId="0" fontId="3" fillId="8" borderId="1" xfId="0" applyFont="1" applyFill="1" applyBorder="1" applyAlignment="1" applyProtection="1">
      <protection locked="0"/>
    </xf>
    <xf numFmtId="0" fontId="3" fillId="9" borderId="1" xfId="0" applyFont="1" applyFill="1" applyBorder="1" applyAlignment="1" applyProtection="1">
      <protection locked="0"/>
    </xf>
    <xf numFmtId="0" fontId="3" fillId="10" borderId="1" xfId="0" applyFont="1" applyFill="1" applyBorder="1" applyAlignment="1" applyProtection="1">
      <protection locked="0"/>
    </xf>
    <xf numFmtId="0" fontId="3" fillId="11" borderId="1" xfId="0" applyFont="1" applyFill="1" applyBorder="1" applyAlignment="1" applyProtection="1">
      <protection locked="0"/>
    </xf>
    <xf numFmtId="0" fontId="3" fillId="12" borderId="1" xfId="0" applyFont="1" applyFill="1" applyBorder="1" applyAlignment="1" applyProtection="1">
      <protection locked="0"/>
    </xf>
    <xf numFmtId="0" fontId="3" fillId="13" borderId="1" xfId="0" applyFont="1" applyFill="1" applyBorder="1" applyAlignment="1" applyProtection="1">
      <protection locked="0"/>
    </xf>
    <xf numFmtId="0" fontId="3" fillId="14" borderId="1" xfId="0" applyFont="1" applyFill="1" applyBorder="1" applyAlignment="1" applyProtection="1">
      <protection locked="0"/>
    </xf>
    <xf numFmtId="0" fontId="13" fillId="0" borderId="1" xfId="0" applyFont="1" applyBorder="1" applyAlignment="1"/>
    <xf numFmtId="0" fontId="14" fillId="0" borderId="0" xfId="0" applyFont="1" applyAlignment="1"/>
    <xf numFmtId="0" fontId="13" fillId="4" borderId="1" xfId="0" applyFont="1" applyFill="1" applyBorder="1" applyAlignment="1" applyProtection="1">
      <protection locked="0"/>
    </xf>
    <xf numFmtId="0" fontId="9" fillId="0" borderId="0" xfId="0" applyFont="1" applyAlignment="1">
      <alignment horizontal="center"/>
    </xf>
    <xf numFmtId="0" fontId="0" fillId="0" borderId="0" xfId="0" applyFont="1" applyAlignment="1"/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54"/>
  <sheetViews>
    <sheetView tabSelected="1" zoomScaleNormal="100" workbookViewId="0">
      <selection activeCell="B10" sqref="B10:B44"/>
    </sheetView>
  </sheetViews>
  <sheetFormatPr defaultColWidth="14.42578125" defaultRowHeight="15.75" customHeight="1"/>
  <cols>
    <col min="1" max="1" width="15.7109375" customWidth="1"/>
    <col min="5" max="5" width="19.5703125" customWidth="1"/>
    <col min="7" max="8" width="17" customWidth="1"/>
    <col min="9" max="9" width="16.28515625" customWidth="1"/>
    <col min="10" max="10" width="19.5703125" customWidth="1"/>
    <col min="11" max="11" width="18.7109375" customWidth="1"/>
    <col min="12" max="12" width="14.28515625" customWidth="1"/>
    <col min="13" max="13" width="16.85546875" customWidth="1"/>
  </cols>
  <sheetData>
    <row r="1" spans="1:16" ht="12.75">
      <c r="A1" s="1" t="s">
        <v>0</v>
      </c>
      <c r="B1" s="2"/>
      <c r="C1" s="2"/>
      <c r="D1" s="2"/>
      <c r="E1" s="2"/>
      <c r="H1" s="3"/>
      <c r="M1" s="3"/>
    </row>
    <row r="2" spans="1:16" ht="12.75">
      <c r="A2" s="4" t="s">
        <v>1</v>
      </c>
      <c r="B2" s="5"/>
      <c r="C2" s="5"/>
      <c r="D2" s="6"/>
      <c r="E2" s="2"/>
      <c r="H2" s="3"/>
      <c r="M2" s="3"/>
    </row>
    <row r="3" spans="1:16" ht="12.75">
      <c r="A3" s="7" t="s">
        <v>2</v>
      </c>
      <c r="B3" s="2"/>
      <c r="C3" s="2"/>
      <c r="D3" s="8"/>
      <c r="E3" s="2"/>
      <c r="H3" s="2" t="s">
        <v>3</v>
      </c>
      <c r="I3" s="2" t="s">
        <v>4</v>
      </c>
      <c r="J3" s="2" t="s">
        <v>5</v>
      </c>
      <c r="K3" s="2" t="s">
        <v>6</v>
      </c>
      <c r="L3" s="2" t="s">
        <v>7</v>
      </c>
      <c r="M3" s="3" t="s">
        <v>8</v>
      </c>
    </row>
    <row r="4" spans="1:16" ht="12.75">
      <c r="A4" s="9" t="s">
        <v>9</v>
      </c>
      <c r="B4" s="10"/>
      <c r="C4" s="10"/>
      <c r="D4" s="11"/>
      <c r="E4" s="2"/>
      <c r="H4" s="1" t="s">
        <v>10</v>
      </c>
      <c r="I4" s="12" t="s">
        <v>11</v>
      </c>
      <c r="J4" s="12" t="s">
        <v>12</v>
      </c>
      <c r="K4" s="13" t="e">
        <f>E16</f>
        <v>#DIV/0!</v>
      </c>
      <c r="L4" s="13" t="e">
        <f>SUM(K4,K5)</f>
        <v>#DIV/0!</v>
      </c>
      <c r="M4" s="3" t="s">
        <v>13</v>
      </c>
    </row>
    <row r="5" spans="1:16" ht="12.75">
      <c r="A5" s="89"/>
      <c r="B5" s="88"/>
      <c r="C5" s="88"/>
      <c r="D5" s="88"/>
      <c r="E5" s="2"/>
      <c r="H5" s="14"/>
      <c r="I5" s="12" t="s">
        <v>14</v>
      </c>
      <c r="J5" s="12" t="s">
        <v>15</v>
      </c>
      <c r="K5" s="13" t="e">
        <f>E11</f>
        <v>#DIV/0!</v>
      </c>
      <c r="L5" s="15"/>
      <c r="M5" s="89" t="s">
        <v>16</v>
      </c>
      <c r="N5" s="88"/>
    </row>
    <row r="6" spans="1:16" ht="12.75">
      <c r="A6" s="87" t="s">
        <v>17</v>
      </c>
      <c r="B6" s="88"/>
      <c r="C6" s="88"/>
      <c r="D6" s="88"/>
      <c r="E6" s="2"/>
      <c r="H6" s="16"/>
    </row>
    <row r="7" spans="1:16" ht="12.75">
      <c r="A7" s="17"/>
      <c r="B7" s="2"/>
      <c r="C7" s="2"/>
      <c r="D7" s="2"/>
      <c r="E7" s="2"/>
      <c r="H7" s="1" t="s">
        <v>18</v>
      </c>
      <c r="I7" s="12" t="s">
        <v>19</v>
      </c>
      <c r="J7" s="12" t="s">
        <v>20</v>
      </c>
      <c r="K7" s="13" t="e">
        <f>E26</f>
        <v>#DIV/0!</v>
      </c>
      <c r="L7" s="13" t="e">
        <f>SUM(K7,K8,K9)</f>
        <v>#DIV/0!</v>
      </c>
    </row>
    <row r="8" spans="1:16" ht="12.75">
      <c r="A8" s="17"/>
      <c r="B8" s="2"/>
      <c r="C8" s="2"/>
      <c r="D8" s="2"/>
      <c r="E8" s="2"/>
      <c r="H8" s="14"/>
      <c r="I8" s="12" t="s">
        <v>21</v>
      </c>
      <c r="J8" s="12" t="s">
        <v>22</v>
      </c>
      <c r="K8" s="13" t="e">
        <f>E21</f>
        <v>#DIV/0!</v>
      </c>
      <c r="L8" s="15"/>
    </row>
    <row r="9" spans="1:16" ht="12.75">
      <c r="A9" s="2" t="s">
        <v>23</v>
      </c>
      <c r="B9" s="2" t="s">
        <v>24</v>
      </c>
      <c r="C9" s="2" t="s">
        <v>25</v>
      </c>
      <c r="D9" s="2" t="s">
        <v>26</v>
      </c>
      <c r="E9" s="2" t="s">
        <v>5</v>
      </c>
      <c r="H9" s="14"/>
      <c r="I9" s="12" t="s">
        <v>14</v>
      </c>
      <c r="J9" s="12" t="s">
        <v>27</v>
      </c>
      <c r="K9" s="13" t="e">
        <f>E11</f>
        <v>#DIV/0!</v>
      </c>
      <c r="L9" s="15"/>
    </row>
    <row r="10" spans="1:16" ht="12.75">
      <c r="A10" s="18" t="s">
        <v>28</v>
      </c>
      <c r="B10" s="69">
        <v>0</v>
      </c>
      <c r="C10" s="20">
        <f>PRODUCT(B10,$P$15)</f>
        <v>0</v>
      </c>
      <c r="D10" s="19"/>
      <c r="E10" s="20"/>
      <c r="H10" s="16"/>
    </row>
    <row r="11" spans="1:16" ht="12.75">
      <c r="A11" s="18" t="s">
        <v>29</v>
      </c>
      <c r="B11" s="69">
        <v>0</v>
      </c>
      <c r="C11" s="20">
        <f>PRODUCT(B11,$P$16)</f>
        <v>0</v>
      </c>
      <c r="D11" s="18" t="s">
        <v>30</v>
      </c>
      <c r="E11" s="21" t="e">
        <f>D12/TotalUnits</f>
        <v>#DIV/0!</v>
      </c>
      <c r="H11" s="1" t="s">
        <v>31</v>
      </c>
      <c r="I11" s="12" t="s">
        <v>32</v>
      </c>
      <c r="J11" s="12" t="s">
        <v>33</v>
      </c>
      <c r="K11" s="13" t="e">
        <f>E31</f>
        <v>#DIV/0!</v>
      </c>
      <c r="L11" s="13" t="e">
        <f>SUM(K11,K12,K13)</f>
        <v>#DIV/0!</v>
      </c>
    </row>
    <row r="12" spans="1:16" ht="12.75">
      <c r="A12" s="18" t="s">
        <v>34</v>
      </c>
      <c r="B12" s="69">
        <v>0</v>
      </c>
      <c r="C12" s="20">
        <f>PRODUCT(B12,$P$17)</f>
        <v>0</v>
      </c>
      <c r="D12" s="20">
        <f>SUM(C11,C12,C13,C14,C10)</f>
        <v>0</v>
      </c>
      <c r="E12" s="21"/>
      <c r="G12" s="1" t="s">
        <v>35</v>
      </c>
      <c r="H12" s="16"/>
      <c r="I12" s="12" t="s">
        <v>36</v>
      </c>
      <c r="J12" s="12" t="s">
        <v>33</v>
      </c>
      <c r="K12" s="13" t="e">
        <f>E36</f>
        <v>#DIV/0!</v>
      </c>
      <c r="L12" s="15"/>
    </row>
    <row r="13" spans="1:16" ht="12.75">
      <c r="A13" s="18" t="s">
        <v>37</v>
      </c>
      <c r="B13" s="69">
        <v>0</v>
      </c>
      <c r="C13" s="20">
        <f>PRODUCT(B13,$P$18)</f>
        <v>0</v>
      </c>
      <c r="D13" s="20"/>
      <c r="E13" s="21"/>
      <c r="G13" s="15">
        <f>SUM(D12,D17,D22,D27,D32,D37,D42,D48,D49,D50,D51,D53,D54,D52)</f>
        <v>0</v>
      </c>
      <c r="H13" s="16"/>
      <c r="I13" s="12" t="s">
        <v>14</v>
      </c>
      <c r="J13" s="12" t="s">
        <v>38</v>
      </c>
      <c r="K13" s="13" t="e">
        <f>E11</f>
        <v>#DIV/0!</v>
      </c>
      <c r="L13" s="15"/>
    </row>
    <row r="14" spans="1:16" ht="12.75">
      <c r="A14" s="18" t="s">
        <v>39</v>
      </c>
      <c r="B14" s="69">
        <v>0</v>
      </c>
      <c r="C14" s="20">
        <f>PRODUCT(B14,$P$19)</f>
        <v>0</v>
      </c>
      <c r="D14" s="20"/>
      <c r="E14" s="21"/>
      <c r="H14" s="16"/>
      <c r="O14" s="85" t="s">
        <v>140</v>
      </c>
    </row>
    <row r="15" spans="1:16" ht="12.75">
      <c r="A15" s="22" t="s">
        <v>40</v>
      </c>
      <c r="B15" s="70">
        <v>0</v>
      </c>
      <c r="C15" s="70">
        <f>PRODUCT(B15,$P$15)</f>
        <v>0</v>
      </c>
      <c r="D15" s="23"/>
      <c r="E15" s="25"/>
      <c r="H15" s="1" t="s">
        <v>41</v>
      </c>
      <c r="I15" s="12" t="s">
        <v>19</v>
      </c>
      <c r="J15" s="12" t="s">
        <v>12</v>
      </c>
      <c r="K15" s="26" t="e">
        <f>E26</f>
        <v>#DIV/0!</v>
      </c>
      <c r="L15" s="13" t="e">
        <f>SUM(K15,K16)</f>
        <v>#DIV/0!</v>
      </c>
      <c r="N15" s="85" t="s">
        <v>141</v>
      </c>
      <c r="O15">
        <v>10</v>
      </c>
      <c r="P15">
        <v>10</v>
      </c>
    </row>
    <row r="16" spans="1:16" ht="12.75">
      <c r="A16" s="22" t="s">
        <v>42</v>
      </c>
      <c r="B16" s="70">
        <v>0</v>
      </c>
      <c r="C16" s="70">
        <f>PRODUCT(B16,$P$16)</f>
        <v>0</v>
      </c>
      <c r="D16" s="22" t="s">
        <v>43</v>
      </c>
      <c r="E16" s="25" t="e">
        <f>D17/TotalUnits</f>
        <v>#DIV/0!</v>
      </c>
      <c r="G16" s="27" t="s">
        <v>44</v>
      </c>
      <c r="H16" s="16"/>
      <c r="I16" s="12" t="s">
        <v>14</v>
      </c>
      <c r="J16" s="12" t="s">
        <v>15</v>
      </c>
      <c r="K16" s="13" t="e">
        <f>E11</f>
        <v>#DIV/0!</v>
      </c>
      <c r="L16" s="15"/>
      <c r="N16" s="85" t="s">
        <v>142</v>
      </c>
      <c r="O16">
        <v>15</v>
      </c>
      <c r="P16">
        <v>25</v>
      </c>
    </row>
    <row r="17" spans="1:16" ht="12.75">
      <c r="A17" s="22" t="s">
        <v>45</v>
      </c>
      <c r="B17" s="70">
        <v>0</v>
      </c>
      <c r="C17" s="70">
        <f>PRODUCT(B17,$P$17)</f>
        <v>0</v>
      </c>
      <c r="D17" s="24">
        <f>SUM(C17,C18,C16,C19,C15)</f>
        <v>0</v>
      </c>
      <c r="E17" s="25"/>
      <c r="G17" s="28" t="e">
        <f>IF(Sheet2!E5=TRUE,"Bronze", IF(Sheet2!E11=TRUE,"Bismuth Bronze", IF(Sheet2!E19=TRUE,"Black Bronze", IF(Sheet2!E27=TRUE,"Brass", IF(Sheet2!E33=TRUE,"Sterling Silver", IF(Sheet2!E39=TRUE,"Rose Gold", IF(Sheet2!E45=TRUE,"Weak Black Steel", IF(Sheet2!E53=TRUE,"Weak Blue Steel", IF(Sheet2!E63=TRUE,"Weak Red Steel","Unknown Metal/Not An Alloy")))))))))</f>
        <v>#DIV/0!</v>
      </c>
      <c r="H17" s="16"/>
      <c r="N17" s="85" t="s">
        <v>143</v>
      </c>
      <c r="O17">
        <v>25</v>
      </c>
      <c r="P17">
        <v>50</v>
      </c>
    </row>
    <row r="18" spans="1:16" ht="12.75">
      <c r="A18" s="22" t="s">
        <v>46</v>
      </c>
      <c r="B18" s="70">
        <v>0</v>
      </c>
      <c r="C18" s="70">
        <f>PRODUCT(B18,$P$18)</f>
        <v>0</v>
      </c>
      <c r="D18" s="24"/>
      <c r="E18" s="25"/>
      <c r="H18" s="1" t="s">
        <v>47</v>
      </c>
      <c r="I18" s="12" t="s">
        <v>36</v>
      </c>
      <c r="J18" s="12" t="s">
        <v>48</v>
      </c>
      <c r="K18" s="29" t="e">
        <f>E36</f>
        <v>#DIV/0!</v>
      </c>
      <c r="L18" s="13" t="e">
        <f>SUM(K18,K19)</f>
        <v>#DIV/0!</v>
      </c>
      <c r="N18" s="85" t="s">
        <v>144</v>
      </c>
      <c r="O18">
        <v>50</v>
      </c>
      <c r="P18">
        <v>75</v>
      </c>
    </row>
    <row r="19" spans="1:16" ht="12.75" customHeight="1">
      <c r="A19" s="22" t="s">
        <v>49</v>
      </c>
      <c r="B19" s="70">
        <v>0</v>
      </c>
      <c r="C19" s="70">
        <f>PRODUCT(B19,$P$19)</f>
        <v>0</v>
      </c>
      <c r="D19" s="24"/>
      <c r="E19" s="25"/>
      <c r="H19" s="16"/>
      <c r="I19" s="12" t="s">
        <v>14</v>
      </c>
      <c r="J19" s="12" t="s">
        <v>50</v>
      </c>
      <c r="K19" s="13" t="e">
        <f>E11</f>
        <v>#DIV/0!</v>
      </c>
      <c r="L19" s="15"/>
      <c r="N19" s="85" t="s">
        <v>145</v>
      </c>
      <c r="O19">
        <v>100</v>
      </c>
      <c r="P19">
        <v>100</v>
      </c>
    </row>
    <row r="20" spans="1:16" ht="12.75">
      <c r="A20" s="30" t="s">
        <v>51</v>
      </c>
      <c r="B20" s="86">
        <v>0</v>
      </c>
      <c r="C20" s="86">
        <f>PRODUCT(B20,$P$15)</f>
        <v>0</v>
      </c>
      <c r="D20" s="31"/>
      <c r="E20" s="33"/>
      <c r="H20" s="16"/>
    </row>
    <row r="21" spans="1:16" ht="12.75">
      <c r="A21" s="30" t="s">
        <v>52</v>
      </c>
      <c r="B21" s="71">
        <v>0</v>
      </c>
      <c r="C21" s="86">
        <f>PRODUCT(B21,$P$16)</f>
        <v>0</v>
      </c>
      <c r="D21" s="30" t="s">
        <v>53</v>
      </c>
      <c r="E21" s="33" t="e">
        <f>D22/TotalUnits</f>
        <v>#DIV/0!</v>
      </c>
      <c r="H21" s="1" t="s">
        <v>54</v>
      </c>
      <c r="I21" s="12" t="s">
        <v>32</v>
      </c>
      <c r="J21" s="12" t="s">
        <v>55</v>
      </c>
      <c r="K21" s="13" t="e">
        <f>E31</f>
        <v>#DIV/0!</v>
      </c>
      <c r="L21" s="13" t="e">
        <f>SUM(K21,K22)</f>
        <v>#DIV/0!</v>
      </c>
    </row>
    <row r="22" spans="1:16" ht="12.75">
      <c r="A22" s="30" t="s">
        <v>56</v>
      </c>
      <c r="B22" s="71">
        <v>0</v>
      </c>
      <c r="C22" s="86">
        <f>PRODUCT(B22,$P$17)</f>
        <v>0</v>
      </c>
      <c r="D22" s="32">
        <f>SUM(C21,C23,C22,C24,C20)</f>
        <v>0</v>
      </c>
      <c r="E22" s="33"/>
      <c r="H22" s="16"/>
      <c r="I22" s="12" t="s">
        <v>14</v>
      </c>
      <c r="J22" s="12" t="s">
        <v>57</v>
      </c>
      <c r="K22" s="13" t="e">
        <f>E11</f>
        <v>#DIV/0!</v>
      </c>
      <c r="L22" s="15"/>
    </row>
    <row r="23" spans="1:16" ht="12.75">
      <c r="A23" s="30" t="s">
        <v>58</v>
      </c>
      <c r="B23" s="71">
        <v>0</v>
      </c>
      <c r="C23" s="86">
        <f>PRODUCT(B23,$P$18)</f>
        <v>0</v>
      </c>
      <c r="D23" s="32"/>
      <c r="E23" s="33"/>
      <c r="H23" s="16"/>
    </row>
    <row r="24" spans="1:16" ht="12.75">
      <c r="A24" s="30" t="s">
        <v>59</v>
      </c>
      <c r="B24" s="71">
        <v>0</v>
      </c>
      <c r="C24" s="86">
        <f>PRODUCT(B24,$P$19)</f>
        <v>0</v>
      </c>
      <c r="D24" s="32"/>
      <c r="E24" s="33"/>
      <c r="H24" s="1" t="s">
        <v>60</v>
      </c>
      <c r="I24" s="12" t="s">
        <v>61</v>
      </c>
      <c r="J24" s="12" t="s">
        <v>38</v>
      </c>
      <c r="K24" s="13" t="e">
        <f>E48</f>
        <v>#DIV/0!</v>
      </c>
      <c r="L24" s="13" t="e">
        <f>SUM(K24,K25,K26)</f>
        <v>#DIV/0!</v>
      </c>
    </row>
    <row r="25" spans="1:16" ht="12.75">
      <c r="A25" s="34" t="s">
        <v>62</v>
      </c>
      <c r="B25" s="72">
        <v>0</v>
      </c>
      <c r="C25" s="72">
        <f>PRODUCT(B25,$P$15)</f>
        <v>0</v>
      </c>
      <c r="D25" s="35"/>
      <c r="E25" s="36"/>
      <c r="H25" s="16"/>
      <c r="I25" s="12" t="s">
        <v>63</v>
      </c>
      <c r="J25" s="12" t="s">
        <v>64</v>
      </c>
      <c r="K25" s="13" t="e">
        <f>E41</f>
        <v>#DIV/0!</v>
      </c>
      <c r="L25" s="15"/>
    </row>
    <row r="26" spans="1:16" ht="12.75">
      <c r="A26" s="34" t="s">
        <v>65</v>
      </c>
      <c r="B26" s="72">
        <v>0</v>
      </c>
      <c r="C26" s="72">
        <f>PRODUCT(B26,$P$16)</f>
        <v>0</v>
      </c>
      <c r="D26" s="34" t="s">
        <v>66</v>
      </c>
      <c r="E26" s="36" t="e">
        <f>D27/TotalUnits</f>
        <v>#DIV/0!</v>
      </c>
      <c r="H26" s="16"/>
      <c r="I26" s="12" t="s">
        <v>67</v>
      </c>
      <c r="J26" s="12" t="s">
        <v>64</v>
      </c>
      <c r="K26" s="13" t="e">
        <f>E51</f>
        <v>#DIV/0!</v>
      </c>
      <c r="L26" s="15"/>
    </row>
    <row r="27" spans="1:16" ht="12.75">
      <c r="A27" s="34" t="s">
        <v>68</v>
      </c>
      <c r="B27" s="72">
        <v>0</v>
      </c>
      <c r="C27" s="72">
        <f>PRODUCT(B27,$P$17)</f>
        <v>0</v>
      </c>
      <c r="D27" s="35">
        <f>SUM(C25,C26,C27,C28,C29)</f>
        <v>0</v>
      </c>
      <c r="E27" s="36"/>
      <c r="H27" s="16"/>
    </row>
    <row r="28" spans="1:16" ht="12.75">
      <c r="A28" s="34" t="s">
        <v>69</v>
      </c>
      <c r="B28" s="72">
        <v>0</v>
      </c>
      <c r="C28" s="72">
        <f>PRODUCT(B28,$P$18)</f>
        <v>0</v>
      </c>
      <c r="D28" s="35"/>
      <c r="E28" s="36"/>
      <c r="H28" s="1" t="s">
        <v>70</v>
      </c>
      <c r="I28" s="12" t="s">
        <v>71</v>
      </c>
      <c r="J28" s="84" t="s">
        <v>135</v>
      </c>
      <c r="K28" s="13" t="e">
        <f>E49</f>
        <v>#DIV/0!</v>
      </c>
      <c r="L28" s="13" t="e">
        <f>SUM(K28,K29,K30,K31)</f>
        <v>#DIV/0!</v>
      </c>
    </row>
    <row r="29" spans="1:16" ht="12.75">
      <c r="A29" s="34" t="s">
        <v>72</v>
      </c>
      <c r="B29" s="72">
        <v>0</v>
      </c>
      <c r="C29" s="72">
        <f>PRODUCT(B29,$P$19)</f>
        <v>0</v>
      </c>
      <c r="D29" s="35"/>
      <c r="E29" s="36"/>
      <c r="H29" s="16"/>
      <c r="I29" s="12" t="s">
        <v>73</v>
      </c>
      <c r="J29" s="12" t="s">
        <v>74</v>
      </c>
      <c r="K29" s="13" t="e">
        <f>E50</f>
        <v>#DIV/0!</v>
      </c>
      <c r="L29" s="15"/>
    </row>
    <row r="30" spans="1:16" ht="12.75">
      <c r="A30" s="37" t="s">
        <v>75</v>
      </c>
      <c r="B30" s="73">
        <v>0</v>
      </c>
      <c r="C30" s="73">
        <f>PRODUCT(B30,$P$15)</f>
        <v>0</v>
      </c>
      <c r="D30" s="38"/>
      <c r="E30" s="39"/>
      <c r="H30" s="16"/>
      <c r="I30" s="12" t="s">
        <v>76</v>
      </c>
      <c r="J30" s="12" t="s">
        <v>74</v>
      </c>
      <c r="K30" s="13" t="e">
        <f>E54</f>
        <v>#DIV/0!</v>
      </c>
      <c r="L30" s="15"/>
    </row>
    <row r="31" spans="1:16" ht="12.75">
      <c r="A31" s="37" t="s">
        <v>77</v>
      </c>
      <c r="B31" s="73">
        <v>0</v>
      </c>
      <c r="C31" s="73">
        <f>PRODUCT(B31,$P$16)</f>
        <v>0</v>
      </c>
      <c r="D31" s="37" t="s">
        <v>78</v>
      </c>
      <c r="E31" s="39" t="e">
        <f>D32/TotalUnits</f>
        <v>#DIV/0!</v>
      </c>
      <c r="H31" s="16"/>
      <c r="I31" s="12" t="s">
        <v>61</v>
      </c>
      <c r="J31" s="12" t="s">
        <v>79</v>
      </c>
      <c r="K31" s="13" t="e">
        <f>E48</f>
        <v>#DIV/0!</v>
      </c>
      <c r="L31" s="15"/>
    </row>
    <row r="32" spans="1:16" ht="12.75">
      <c r="A32" s="37" t="s">
        <v>80</v>
      </c>
      <c r="B32" s="73">
        <v>0</v>
      </c>
      <c r="C32" s="73">
        <f>PRODUCT(B32,$P$17)</f>
        <v>0</v>
      </c>
      <c r="D32" s="38">
        <f>SUM(C30,C31,C32,C33,C34)</f>
        <v>0</v>
      </c>
      <c r="E32" s="39"/>
      <c r="H32" s="16"/>
    </row>
    <row r="33" spans="1:12" ht="12.75">
      <c r="A33" s="37" t="s">
        <v>81</v>
      </c>
      <c r="B33" s="73">
        <v>0</v>
      </c>
      <c r="C33" s="73">
        <f>PRODUCT(B33,$P$18)</f>
        <v>0</v>
      </c>
      <c r="D33" s="38"/>
      <c r="E33" s="39"/>
      <c r="H33" s="1" t="s">
        <v>82</v>
      </c>
      <c r="I33" s="12" t="s">
        <v>71</v>
      </c>
      <c r="J33" s="84" t="s">
        <v>135</v>
      </c>
      <c r="K33" s="13" t="e">
        <f>E49</f>
        <v>#DIV/0!</v>
      </c>
      <c r="L33" s="13" t="e">
        <f>SUM(K33,K34,K35,K36)</f>
        <v>#DIV/0!</v>
      </c>
    </row>
    <row r="34" spans="1:12" ht="12.75">
      <c r="A34" s="37" t="s">
        <v>83</v>
      </c>
      <c r="B34" s="73">
        <v>0</v>
      </c>
      <c r="C34" s="73">
        <f>PRODUCT(B34,$P$19)</f>
        <v>0</v>
      </c>
      <c r="D34" s="38"/>
      <c r="E34" s="39"/>
      <c r="I34" s="12" t="s">
        <v>84</v>
      </c>
      <c r="J34" s="12" t="s">
        <v>74</v>
      </c>
      <c r="K34" s="13" t="e">
        <f>E53</f>
        <v>#DIV/0!</v>
      </c>
      <c r="L34" s="15"/>
    </row>
    <row r="35" spans="1:12" ht="12.75">
      <c r="A35" s="1" t="s">
        <v>85</v>
      </c>
      <c r="B35" s="74">
        <v>0</v>
      </c>
      <c r="C35" s="74">
        <f>PRODUCT(B35,$P$15)</f>
        <v>0</v>
      </c>
      <c r="D35" s="15"/>
      <c r="E35" s="13"/>
      <c r="I35" s="12" t="s">
        <v>86</v>
      </c>
      <c r="J35" s="12" t="s">
        <v>74</v>
      </c>
      <c r="K35" s="13" t="e">
        <f>E52</f>
        <v>#DIV/0!</v>
      </c>
      <c r="L35" s="15"/>
    </row>
    <row r="36" spans="1:12" ht="12.75">
      <c r="A36" s="1" t="s">
        <v>87</v>
      </c>
      <c r="B36" s="74">
        <v>0</v>
      </c>
      <c r="C36" s="74">
        <f>PRODUCT(B36,$P$16)</f>
        <v>0</v>
      </c>
      <c r="D36" s="1" t="s">
        <v>88</v>
      </c>
      <c r="E36" s="13" t="e">
        <f>D37/TotalUnits</f>
        <v>#DIV/0!</v>
      </c>
      <c r="I36" s="12" t="s">
        <v>61</v>
      </c>
      <c r="J36" s="12" t="s">
        <v>79</v>
      </c>
      <c r="K36" s="13" t="e">
        <f>E48</f>
        <v>#DIV/0!</v>
      </c>
      <c r="L36" s="15"/>
    </row>
    <row r="37" spans="1:12" ht="12.75">
      <c r="A37" s="1" t="s">
        <v>89</v>
      </c>
      <c r="B37" s="74">
        <v>0</v>
      </c>
      <c r="C37" s="74">
        <f>PRODUCT(B37,$P$17)</f>
        <v>0</v>
      </c>
      <c r="D37" s="15">
        <f>SUM(C35,C36,C37,C38,C39)</f>
        <v>0</v>
      </c>
      <c r="E37" s="13"/>
    </row>
    <row r="38" spans="1:12" ht="12.75">
      <c r="A38" s="1" t="s">
        <v>90</v>
      </c>
      <c r="B38" s="74">
        <v>0</v>
      </c>
      <c r="C38" s="74">
        <f>PRODUCT(B38,$P$18)</f>
        <v>0</v>
      </c>
      <c r="D38" s="15"/>
      <c r="E38" s="13"/>
    </row>
    <row r="39" spans="1:12" ht="12.75">
      <c r="A39" s="1" t="s">
        <v>91</v>
      </c>
      <c r="B39" s="74">
        <v>0</v>
      </c>
      <c r="C39" s="74">
        <f>PRODUCT(B39,$P$19)</f>
        <v>0</v>
      </c>
      <c r="D39" s="15"/>
      <c r="E39" s="13"/>
    </row>
    <row r="40" spans="1:12" ht="12.75">
      <c r="A40" s="40" t="s">
        <v>92</v>
      </c>
      <c r="B40" s="75">
        <v>0</v>
      </c>
      <c r="C40" s="75">
        <f>PRODUCT(B40,$P$15)</f>
        <v>0</v>
      </c>
      <c r="D40" s="41"/>
      <c r="E40" s="42"/>
    </row>
    <row r="41" spans="1:12" ht="12.75">
      <c r="A41" s="40" t="s">
        <v>93</v>
      </c>
      <c r="B41" s="75">
        <v>0</v>
      </c>
      <c r="C41" s="75">
        <f>PRODUCT(B41,$P$16)</f>
        <v>0</v>
      </c>
      <c r="D41" s="40" t="s">
        <v>94</v>
      </c>
      <c r="E41" s="42" t="e">
        <f>D42/TotalUnits</f>
        <v>#DIV/0!</v>
      </c>
    </row>
    <row r="42" spans="1:12" ht="12.75">
      <c r="A42" s="40" t="s">
        <v>95</v>
      </c>
      <c r="B42" s="75">
        <v>0</v>
      </c>
      <c r="C42" s="75">
        <f>PRODUCT(B42,$P$17)</f>
        <v>0</v>
      </c>
      <c r="D42" s="41">
        <f>SUM(C40,C41,C42,C43,C44)</f>
        <v>0</v>
      </c>
      <c r="E42" s="42"/>
    </row>
    <row r="43" spans="1:12" ht="12.75">
      <c r="A43" s="40" t="s">
        <v>96</v>
      </c>
      <c r="B43" s="75">
        <v>0</v>
      </c>
      <c r="C43" s="75">
        <f>PRODUCT(B43,$P$18)</f>
        <v>0</v>
      </c>
      <c r="D43" s="41"/>
      <c r="E43" s="42"/>
      <c r="H43" s="85" t="s">
        <v>136</v>
      </c>
      <c r="I43" s="85" t="s">
        <v>137</v>
      </c>
      <c r="J43">
        <v>4</v>
      </c>
    </row>
    <row r="44" spans="1:12" ht="12.75">
      <c r="A44" s="40" t="s">
        <v>97</v>
      </c>
      <c r="B44" s="75">
        <v>0</v>
      </c>
      <c r="C44" s="75">
        <f>PRODUCT(B44,$P$19)</f>
        <v>0</v>
      </c>
      <c r="D44" s="41"/>
      <c r="E44" s="42"/>
      <c r="I44" s="85" t="s">
        <v>138</v>
      </c>
      <c r="J44">
        <v>4</v>
      </c>
    </row>
    <row r="45" spans="1:12" ht="12.75">
      <c r="B45" s="68"/>
      <c r="E45" s="43"/>
    </row>
    <row r="46" spans="1:12" ht="12.75">
      <c r="A46" s="44" t="s">
        <v>98</v>
      </c>
      <c r="B46" s="68"/>
      <c r="E46" s="43"/>
      <c r="I46" s="85" t="s">
        <v>139</v>
      </c>
      <c r="J46" s="85">
        <v>24</v>
      </c>
    </row>
    <row r="47" spans="1:12" ht="12.75">
      <c r="B47" s="76"/>
      <c r="E47" s="43"/>
    </row>
    <row r="48" spans="1:12" ht="12.75">
      <c r="A48" s="45" t="s">
        <v>61</v>
      </c>
      <c r="B48" s="77">
        <v>0</v>
      </c>
      <c r="C48" s="46">
        <f t="shared" ref="C48:C54" si="0">PRODUCT(B48,100)</f>
        <v>0</v>
      </c>
      <c r="D48" s="46">
        <f t="shared" ref="D48:D54" si="1">C48</f>
        <v>0</v>
      </c>
      <c r="E48" s="47" t="e">
        <f t="shared" ref="E48:E54" si="2">D48/TotalUnits</f>
        <v>#DIV/0!</v>
      </c>
    </row>
    <row r="49" spans="1:12" ht="12.75">
      <c r="A49" s="48" t="s">
        <v>71</v>
      </c>
      <c r="B49" s="78">
        <v>0</v>
      </c>
      <c r="C49" s="49">
        <f t="shared" si="0"/>
        <v>0</v>
      </c>
      <c r="D49" s="49">
        <f t="shared" si="1"/>
        <v>0</v>
      </c>
      <c r="E49" s="50" t="e">
        <f t="shared" si="2"/>
        <v>#DIV/0!</v>
      </c>
    </row>
    <row r="50" spans="1:12" ht="12.75">
      <c r="A50" s="51" t="s">
        <v>73</v>
      </c>
      <c r="B50" s="79">
        <v>0</v>
      </c>
      <c r="C50" s="52">
        <f t="shared" si="0"/>
        <v>0</v>
      </c>
      <c r="D50" s="52">
        <f t="shared" si="1"/>
        <v>0</v>
      </c>
      <c r="E50" s="53" t="e">
        <f t="shared" si="2"/>
        <v>#DIV/0!</v>
      </c>
    </row>
    <row r="51" spans="1:12" ht="12.75">
      <c r="A51" s="54" t="s">
        <v>67</v>
      </c>
      <c r="B51" s="80">
        <v>0</v>
      </c>
      <c r="C51" s="55">
        <f t="shared" si="0"/>
        <v>0</v>
      </c>
      <c r="D51" s="55">
        <f t="shared" si="1"/>
        <v>0</v>
      </c>
      <c r="E51" s="56" t="e">
        <f t="shared" si="2"/>
        <v>#DIV/0!</v>
      </c>
    </row>
    <row r="52" spans="1:12" ht="12.75">
      <c r="A52" s="57" t="s">
        <v>86</v>
      </c>
      <c r="B52" s="81">
        <v>0</v>
      </c>
      <c r="C52" s="58">
        <f t="shared" si="0"/>
        <v>0</v>
      </c>
      <c r="D52" s="58">
        <f t="shared" si="1"/>
        <v>0</v>
      </c>
      <c r="E52" s="59" t="e">
        <f t="shared" si="2"/>
        <v>#DIV/0!</v>
      </c>
    </row>
    <row r="53" spans="1:12" ht="12.75">
      <c r="A53" s="60" t="s">
        <v>84</v>
      </c>
      <c r="B53" s="82">
        <v>0</v>
      </c>
      <c r="C53" s="61">
        <f t="shared" si="0"/>
        <v>0</v>
      </c>
      <c r="D53" s="61">
        <f t="shared" si="1"/>
        <v>0</v>
      </c>
      <c r="E53" s="62" t="e">
        <f t="shared" si="2"/>
        <v>#DIV/0!</v>
      </c>
      <c r="L53" s="3"/>
    </row>
    <row r="54" spans="1:12" ht="12.75">
      <c r="A54" s="63" t="s">
        <v>76</v>
      </c>
      <c r="B54" s="83">
        <v>0</v>
      </c>
      <c r="C54" s="64">
        <f t="shared" si="0"/>
        <v>0</v>
      </c>
      <c r="D54" s="64">
        <f t="shared" si="1"/>
        <v>0</v>
      </c>
      <c r="E54" s="65" t="e">
        <f t="shared" si="2"/>
        <v>#DIV/0!</v>
      </c>
      <c r="L54" s="3"/>
    </row>
  </sheetData>
  <mergeCells count="3">
    <mergeCell ref="A6:D6"/>
    <mergeCell ref="A5:D5"/>
    <mergeCell ref="M5:N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9"/>
  <sheetViews>
    <sheetView workbookViewId="0">
      <selection activeCell="B3" sqref="B3"/>
    </sheetView>
  </sheetViews>
  <sheetFormatPr defaultColWidth="14.42578125" defaultRowHeight="15.75" customHeight="1"/>
  <cols>
    <col min="2" max="2" width="92.7109375" customWidth="1"/>
  </cols>
  <sheetData>
    <row r="1" spans="1:5" ht="12.75">
      <c r="D1" s="66"/>
      <c r="E1" s="66"/>
    </row>
    <row r="2" spans="1:5" ht="15.75" customHeight="1">
      <c r="A2" s="66"/>
    </row>
    <row r="3" spans="1:5" ht="15.75" customHeight="1">
      <c r="A3" s="66" t="s">
        <v>99</v>
      </c>
      <c r="B3" s="67" t="e">
        <f>IF('TNFC Ore Calculator'!K4 &gt;= 0.08,TRUE,FALSE)</f>
        <v>#DIV/0!</v>
      </c>
      <c r="C3" s="66" t="s">
        <v>100</v>
      </c>
    </row>
    <row r="4" spans="1:5" ht="15.75" customHeight="1">
      <c r="A4" s="66"/>
      <c r="B4" s="67" t="e">
        <f>IF('TNFC Ore Calculator'!K4 &lt;= 0.12,TRUE,FALSE)</f>
        <v>#DIV/0!</v>
      </c>
      <c r="C4" s="66" t="s">
        <v>101</v>
      </c>
    </row>
    <row r="5" spans="1:5" ht="15.75" customHeight="1">
      <c r="A5" s="66"/>
      <c r="B5" s="67" t="e">
        <f>IF('TNFC Ore Calculator'!K5&gt;=0.88,TRUE,FALSE)</f>
        <v>#DIV/0!</v>
      </c>
      <c r="C5" s="66" t="s">
        <v>102</v>
      </c>
      <c r="E5" s="67" t="e">
        <f>AND(B3 = TRUE,B4 = TRUE,B5 = TRUE,B6 = TRUE,B7 = TRUE)</f>
        <v>#DIV/0!</v>
      </c>
    </row>
    <row r="6" spans="1:5" ht="15.75" customHeight="1">
      <c r="A6" s="66"/>
      <c r="B6" s="67" t="e">
        <f>IF('TNFC Ore Calculator'!K5&lt;=0.92,TRUE,FALSE)</f>
        <v>#DIV/0!</v>
      </c>
      <c r="C6" s="66" t="s">
        <v>103</v>
      </c>
    </row>
    <row r="7" spans="1:5" ht="15.75" customHeight="1">
      <c r="A7" s="66"/>
      <c r="B7" s="67" t="e">
        <f>IF('TNFC Ore Calculator'!L4 = 1,TRUE,FALSE)</f>
        <v>#DIV/0!</v>
      </c>
      <c r="C7" s="66" t="s">
        <v>104</v>
      </c>
    </row>
    <row r="8" spans="1:5" ht="15.75" customHeight="1">
      <c r="A8" s="66"/>
    </row>
    <row r="9" spans="1:5" ht="15.75" customHeight="1">
      <c r="A9" s="66" t="s">
        <v>105</v>
      </c>
      <c r="B9" s="67" t="e">
        <f>IF('TNFC Ore Calculator'!K8 &gt;= 0.1,TRUE,FALSE)</f>
        <v>#DIV/0!</v>
      </c>
      <c r="C9" s="66" t="s">
        <v>106</v>
      </c>
    </row>
    <row r="10" spans="1:5" ht="15.75" customHeight="1">
      <c r="A10" s="66"/>
      <c r="B10" s="67" t="e">
        <f>IF('TNFC Ore Calculator'!K8&lt;=0.2,TRUE,FALSE)</f>
        <v>#DIV/0!</v>
      </c>
      <c r="C10" s="66" t="s">
        <v>107</v>
      </c>
    </row>
    <row r="11" spans="1:5" ht="15.75" customHeight="1">
      <c r="A11" s="66"/>
      <c r="B11" s="67" t="e">
        <f>IF('TNFC Ore Calculator'!K7 &gt;= 0.2,TRUE,FALSE)</f>
        <v>#DIV/0!</v>
      </c>
      <c r="C11" s="66" t="s">
        <v>108</v>
      </c>
      <c r="E11" s="67" t="e">
        <f>AND(B9=TRUE,B10=TRUE,B11=TRUE,B12=TRUE,B13=TRUE,B14=TRUE,B15=TRUE)</f>
        <v>#DIV/0!</v>
      </c>
    </row>
    <row r="12" spans="1:5" ht="15.75" customHeight="1">
      <c r="A12" s="66"/>
      <c r="B12" s="67" t="e">
        <f>IF('TNFC Ore Calculator'!K7 &lt;= 0.3,TRUE,FALSE)</f>
        <v>#DIV/0!</v>
      </c>
      <c r="C12" s="66" t="s">
        <v>109</v>
      </c>
    </row>
    <row r="13" spans="1:5" ht="15.75" customHeight="1">
      <c r="A13" s="66"/>
      <c r="B13" s="67" t="e">
        <f>IF('TNFC Ore Calculator'!K9 &gt;= 0.5,TRUE,FALSE)</f>
        <v>#DIV/0!</v>
      </c>
      <c r="C13" s="66" t="s">
        <v>102</v>
      </c>
    </row>
    <row r="14" spans="1:5" ht="15.75" customHeight="1">
      <c r="A14" s="66"/>
      <c r="B14" s="67" t="e">
        <f>IF('TNFC Ore Calculator'!K13 &lt;= 0.65,TRUE,FALSE)</f>
        <v>#DIV/0!</v>
      </c>
      <c r="C14" s="66" t="s">
        <v>103</v>
      </c>
    </row>
    <row r="15" spans="1:5" ht="15.75" customHeight="1">
      <c r="A15" s="66"/>
      <c r="B15" s="67" t="e">
        <f>IF('TNFC Ore Calculator'!L7 = 1,TRUE,FALSE)</f>
        <v>#DIV/0!</v>
      </c>
      <c r="C15" s="66" t="s">
        <v>104</v>
      </c>
    </row>
    <row r="16" spans="1:5" ht="15.75" customHeight="1">
      <c r="A16" s="66"/>
    </row>
    <row r="17" spans="1:5" ht="15.75" customHeight="1">
      <c r="A17" s="66" t="s">
        <v>31</v>
      </c>
      <c r="B17" s="67" t="e">
        <f>IF('TNFC Ore Calculator'!K11 &gt;= 0.1,TRUE,FALSE)</f>
        <v>#DIV/0!</v>
      </c>
      <c r="C17" s="66" t="s">
        <v>110</v>
      </c>
    </row>
    <row r="18" spans="1:5" ht="15.75" customHeight="1">
      <c r="A18" s="66"/>
      <c r="B18" s="67" t="e">
        <f>IF('TNFC Ore Calculator'!K11 &lt;= 0.25,TRUE,FALSE)</f>
        <v>#DIV/0!</v>
      </c>
      <c r="C18" s="66" t="s">
        <v>111</v>
      </c>
    </row>
    <row r="19" spans="1:5" ht="15.75" customHeight="1">
      <c r="A19" s="66"/>
      <c r="B19" s="67" t="e">
        <f>IF('TNFC Ore Calculator'!K12 &gt;= 0.1,TRUE,FALSE)</f>
        <v>#DIV/0!</v>
      </c>
      <c r="C19" s="66" t="s">
        <v>112</v>
      </c>
      <c r="E19" s="67" t="e">
        <f>AND(B17=TRUE,B18=TRUE,B19=TRUE,B20=TRUE,B21=TRUE,B22=TRUE,B23=TRUE)</f>
        <v>#DIV/0!</v>
      </c>
    </row>
    <row r="20" spans="1:5" ht="15.75" customHeight="1">
      <c r="A20" s="66"/>
      <c r="B20" s="67" t="e">
        <f>IF('TNFC Ore Calculator'!K12 &lt;= 0.25,TRUE,FALSE)</f>
        <v>#DIV/0!</v>
      </c>
      <c r="C20" s="66" t="s">
        <v>113</v>
      </c>
    </row>
    <row r="21" spans="1:5" ht="15.75" customHeight="1">
      <c r="A21" s="66"/>
      <c r="B21" s="67" t="e">
        <f>IF('TNFC Ore Calculator'!K13 &gt;= 0.5,TRUE,FALSE)</f>
        <v>#DIV/0!</v>
      </c>
      <c r="C21" s="66" t="s">
        <v>102</v>
      </c>
    </row>
    <row r="22" spans="1:5" ht="15.75" customHeight="1">
      <c r="A22" s="66"/>
      <c r="B22" s="67" t="e">
        <f>IF('TNFC Ore Calculator'!K13 &lt;= 0.7,TRUE,FALSE)</f>
        <v>#DIV/0!</v>
      </c>
      <c r="C22" s="66" t="s">
        <v>103</v>
      </c>
    </row>
    <row r="23" spans="1:5" ht="15.75" customHeight="1">
      <c r="A23" s="66"/>
      <c r="B23" s="67" t="e">
        <f>IF('TNFC Ore Calculator'!L11 = 1,TRUE,FALSE)</f>
        <v>#DIV/0!</v>
      </c>
      <c r="C23" s="66" t="s">
        <v>104</v>
      </c>
    </row>
    <row r="24" spans="1:5" ht="15.75" customHeight="1">
      <c r="A24" s="66"/>
    </row>
    <row r="25" spans="1:5" ht="15.75" customHeight="1">
      <c r="A25" s="66" t="s">
        <v>41</v>
      </c>
      <c r="B25" s="67" t="e">
        <f>IF('TNFC Ore Calculator'!K15 &gt;= 0.08,TRUE,FALSE)</f>
        <v>#DIV/0!</v>
      </c>
      <c r="C25" s="66" t="s">
        <v>108</v>
      </c>
    </row>
    <row r="26" spans="1:5" ht="15.75" customHeight="1">
      <c r="A26" s="66"/>
      <c r="B26" s="67" t="e">
        <f>IF('TNFC Ore Calculator'!K15 &lt;= 0.12,TRUE,FALSE)</f>
        <v>#DIV/0!</v>
      </c>
      <c r="C26" s="66" t="s">
        <v>114</v>
      </c>
    </row>
    <row r="27" spans="1:5" ht="15.75" customHeight="1">
      <c r="A27" s="66"/>
      <c r="B27" s="67" t="e">
        <f>IF('TNFC Ore Calculator'!K16 &gt;= 0.88,TRUE,FALSE)</f>
        <v>#DIV/0!</v>
      </c>
      <c r="C27" s="66" t="s">
        <v>102</v>
      </c>
      <c r="E27" s="67" t="e">
        <f>AND(B25=TRUE,B26=TRUE,B27=TRUE,B28=TRUE,B29=TRUE)</f>
        <v>#DIV/0!</v>
      </c>
    </row>
    <row r="28" spans="1:5" ht="15.75" customHeight="1">
      <c r="A28" s="66"/>
      <c r="B28" s="67" t="e">
        <f>IF('TNFC Ore Calculator'!K16 &lt;= 0.92,TRUE,FALSE)</f>
        <v>#DIV/0!</v>
      </c>
      <c r="C28" s="66" t="s">
        <v>103</v>
      </c>
    </row>
    <row r="29" spans="1:5" ht="15.75" customHeight="1">
      <c r="A29" s="66"/>
      <c r="B29" s="67" t="e">
        <f>IF('TNFC Ore Calculator'!L15 = 1,TRUE,FALSE)</f>
        <v>#DIV/0!</v>
      </c>
      <c r="C29" s="66" t="s">
        <v>104</v>
      </c>
    </row>
    <row r="30" spans="1:5" ht="15.75" customHeight="1">
      <c r="A30" s="66"/>
    </row>
    <row r="31" spans="1:5" ht="15.75" customHeight="1">
      <c r="A31" s="66" t="s">
        <v>115</v>
      </c>
      <c r="B31" s="67" t="e">
        <f>IF('TNFC Ore Calculator'!K18 &gt;= 0.6,TRUE,FALSE)</f>
        <v>#DIV/0!</v>
      </c>
      <c r="C31" s="66" t="s">
        <v>112</v>
      </c>
    </row>
    <row r="32" spans="1:5" ht="15.75" customHeight="1">
      <c r="A32" s="66"/>
      <c r="B32" s="67" t="e">
        <f>IF('TNFC Ore Calculator'!K18 &lt;= 0.8,TRUE,FALSE)</f>
        <v>#DIV/0!</v>
      </c>
      <c r="C32" s="66" t="s">
        <v>113</v>
      </c>
    </row>
    <row r="33" spans="1:5" ht="15.75" customHeight="1">
      <c r="A33" s="66"/>
      <c r="B33" s="67" t="e">
        <f>IF('TNFC Ore Calculator'!K19 &gt;= 0.2,TRUE,FALSE)</f>
        <v>#DIV/0!</v>
      </c>
      <c r="C33" s="66" t="s">
        <v>102</v>
      </c>
      <c r="E33" s="67" t="e">
        <f>AND(B31=TRUE,B32=TRUE,B33=TRUE,B34=TRUE,B35=TRUE)</f>
        <v>#DIV/0!</v>
      </c>
    </row>
    <row r="34" spans="1:5" ht="15.75" customHeight="1">
      <c r="A34" s="66"/>
      <c r="B34" s="67" t="e">
        <f>IF('TNFC Ore Calculator'!K19 &lt;= 0.4,TRUE,FALSE)</f>
        <v>#DIV/0!</v>
      </c>
      <c r="C34" s="66" t="s">
        <v>103</v>
      </c>
    </row>
    <row r="35" spans="1:5" ht="15.75" customHeight="1">
      <c r="A35" s="66"/>
      <c r="B35" s="67" t="e">
        <f>IF('TNFC Ore Calculator'!L18 = 1,TRUE,FALSE)</f>
        <v>#DIV/0!</v>
      </c>
      <c r="C35" s="66" t="s">
        <v>104</v>
      </c>
    </row>
    <row r="36" spans="1:5" ht="15.75" customHeight="1">
      <c r="A36" s="66"/>
    </row>
    <row r="37" spans="1:5" ht="15.75" customHeight="1">
      <c r="A37" s="66" t="s">
        <v>54</v>
      </c>
      <c r="B37" s="67" t="e">
        <f>IF('TNFC Ore Calculator'!K21&gt;=0.7,TRUE,FALSE)</f>
        <v>#DIV/0!</v>
      </c>
      <c r="C37" s="66" t="s">
        <v>110</v>
      </c>
    </row>
    <row r="38" spans="1:5" ht="15.75" customHeight="1">
      <c r="A38" s="66"/>
      <c r="B38" s="67" t="e">
        <f>IF('TNFC Ore Calculator'!K21&lt;=0.85,TRUE,FALSE)</f>
        <v>#DIV/0!</v>
      </c>
      <c r="C38" s="66" t="s">
        <v>111</v>
      </c>
    </row>
    <row r="39" spans="1:5" ht="15.75" customHeight="1">
      <c r="A39" s="66"/>
      <c r="B39" s="67" t="e">
        <f>IF('TNFC Ore Calculator'!K22&gt;=0.15,TRUE,FALSE)</f>
        <v>#DIV/0!</v>
      </c>
      <c r="C39" s="66" t="s">
        <v>102</v>
      </c>
      <c r="E39" s="67" t="e">
        <f>AND(B37=TRUE,B38=TRUE,B39=TRUE,B40=TRUE,B41=TRUE)</f>
        <v>#DIV/0!</v>
      </c>
    </row>
    <row r="40" spans="1:5" ht="15.75" customHeight="1">
      <c r="A40" s="66"/>
      <c r="B40" s="67" t="e">
        <f>IF('TNFC Ore Calculator'!K22&lt;=0.3,TRUE,FALSE)</f>
        <v>#DIV/0!</v>
      </c>
      <c r="C40" s="66" t="s">
        <v>103</v>
      </c>
    </row>
    <row r="41" spans="1:5" ht="15.75" customHeight="1">
      <c r="A41" s="66"/>
      <c r="B41" s="67" t="e">
        <f>IF('TNFC Ore Calculator'!L21 = 1,TRUE,FALSE)</f>
        <v>#DIV/0!</v>
      </c>
      <c r="C41" s="66" t="s">
        <v>104</v>
      </c>
    </row>
    <row r="42" spans="1:5" ht="15.75" customHeight="1">
      <c r="A42" s="66"/>
    </row>
    <row r="43" spans="1:5" ht="15.75" customHeight="1">
      <c r="A43" s="66" t="s">
        <v>116</v>
      </c>
      <c r="B43" s="67" t="e">
        <f>IF('TNFC Ore Calculator'!K24&gt;=0.5,TRUE,FALSE)</f>
        <v>#DIV/0!</v>
      </c>
      <c r="C43" s="66" t="s">
        <v>117</v>
      </c>
    </row>
    <row r="44" spans="1:5" ht="15.75" customHeight="1">
      <c r="A44" s="66"/>
      <c r="B44" s="67" t="e">
        <f>IF('TNFC Ore Calculator'!K24&lt;=0.7,TRUE,FALSE)</f>
        <v>#DIV/0!</v>
      </c>
      <c r="C44" s="66" t="s">
        <v>118</v>
      </c>
    </row>
    <row r="45" spans="1:5" ht="15.75" customHeight="1">
      <c r="A45" s="66"/>
      <c r="B45" s="67" t="e">
        <f>IF('TNFC Ore Calculator'!K25&gt;=0.15,TRUE,FALSE)</f>
        <v>#DIV/0!</v>
      </c>
      <c r="C45" s="66" t="s">
        <v>119</v>
      </c>
      <c r="E45" s="67" t="e">
        <f>AND(B43=TRUE,B44=TRUE,B45=TRUE,B46=TRUE,B47=TRUE,B48=TRUE,B49=TRUE)</f>
        <v>#DIV/0!</v>
      </c>
    </row>
    <row r="46" spans="1:5" ht="15.75" customHeight="1">
      <c r="A46" s="66"/>
      <c r="B46" s="67" t="e">
        <f>IF('TNFC Ore Calculator'!K25&lt;=0.25,TRUE,FALSE)</f>
        <v>#DIV/0!</v>
      </c>
      <c r="C46" s="66" t="s">
        <v>120</v>
      </c>
    </row>
    <row r="47" spans="1:5" ht="15.75" customHeight="1">
      <c r="A47" s="66"/>
      <c r="B47" s="67" t="e">
        <f>IF('TNFC Ore Calculator'!K26&gt;=0.15,TRUE,FALSE)</f>
        <v>#DIV/0!</v>
      </c>
      <c r="C47" s="66" t="s">
        <v>121</v>
      </c>
    </row>
    <row r="48" spans="1:5" ht="15.75" customHeight="1">
      <c r="A48" s="66"/>
      <c r="B48" s="67" t="e">
        <f>IF('TNFC Ore Calculator'!K26&lt;=0.25,TRUE,FALSE)</f>
        <v>#DIV/0!</v>
      </c>
      <c r="C48" s="66" t="s">
        <v>122</v>
      </c>
    </row>
    <row r="49" spans="1:5" ht="15.75" customHeight="1">
      <c r="A49" s="66"/>
      <c r="B49" s="67" t="e">
        <f>IF('TNFC Ore Calculator'!L24 = 1,TRUE,FALSE)</f>
        <v>#DIV/0!</v>
      </c>
      <c r="C49" s="66" t="s">
        <v>104</v>
      </c>
    </row>
    <row r="50" spans="1:5" ht="15.75" customHeight="1">
      <c r="A50" s="66"/>
      <c r="C50" s="66"/>
    </row>
    <row r="51" spans="1:5" ht="15.75" customHeight="1">
      <c r="A51" s="66" t="s">
        <v>123</v>
      </c>
      <c r="B51" s="67" t="e">
        <f>IF('TNFC Ore Calculator'!K28&gt;=0.5,TRUE,FALSE)</f>
        <v>#DIV/0!</v>
      </c>
      <c r="C51" s="66" t="s">
        <v>124</v>
      </c>
    </row>
    <row r="52" spans="1:5" ht="15.75" customHeight="1">
      <c r="A52" s="66"/>
      <c r="B52" s="67" t="e">
        <f>IF('TNFC Ore Calculator'!K28&lt;=0.55,TRUE,FALSE)</f>
        <v>#DIV/0!</v>
      </c>
      <c r="C52" s="66" t="s">
        <v>125</v>
      </c>
    </row>
    <row r="53" spans="1:5" ht="15.75" customHeight="1">
      <c r="A53" s="66"/>
      <c r="B53" s="67" t="e">
        <f>IF('TNFC Ore Calculator'!K29&gt;=0.1,TRUE,FALSE)</f>
        <v>#DIV/0!</v>
      </c>
      <c r="C53" s="66" t="s">
        <v>126</v>
      </c>
      <c r="E53" s="67" t="e">
        <f>AND(B51=TRUE,B52=TRUE,B53=TRUE,B54=TRUE,B55=TRUE,B56=TRUE,B57=TRUE,B58=TRUE,B59=TRUE)</f>
        <v>#DIV/0!</v>
      </c>
    </row>
    <row r="54" spans="1:5" ht="15.75" customHeight="1">
      <c r="A54" s="66"/>
      <c r="B54" s="67" t="e">
        <f>IF('TNFC Ore Calculator'!K29&lt;=0.15,TRUE,FALSE)</f>
        <v>#DIV/0!</v>
      </c>
      <c r="C54" s="66" t="s">
        <v>127</v>
      </c>
    </row>
    <row r="55" spans="1:5" ht="15.75" customHeight="1">
      <c r="A55" s="66"/>
      <c r="B55" s="67" t="e">
        <f>IF('TNFC Ore Calculator'!K30&gt;=0.1,TRUE,FALSE)</f>
        <v>#DIV/0!</v>
      </c>
      <c r="C55" s="66" t="s">
        <v>128</v>
      </c>
    </row>
    <row r="56" spans="1:5" ht="15.75" customHeight="1">
      <c r="A56" s="66"/>
      <c r="B56" s="67" t="e">
        <f>IF('TNFC Ore Calculator'!K30&lt;=0.15,TRUE,FALSE)</f>
        <v>#DIV/0!</v>
      </c>
      <c r="C56" s="66" t="s">
        <v>129</v>
      </c>
    </row>
    <row r="57" spans="1:5" ht="15.75" customHeight="1">
      <c r="A57" s="66"/>
      <c r="B57" s="67" t="e">
        <f>IF('TNFC Ore Calculator'!K31&gt;=0.2,TRUE,FALSE)</f>
        <v>#DIV/0!</v>
      </c>
      <c r="C57" s="66" t="s">
        <v>117</v>
      </c>
    </row>
    <row r="58" spans="1:5" ht="15.75" customHeight="1">
      <c r="A58" s="66"/>
      <c r="B58" s="67" t="e">
        <f>IF('TNFC Ore Calculator'!K36&lt;=0.25,TRUE,FALSE)</f>
        <v>#DIV/0!</v>
      </c>
      <c r="C58" s="66" t="s">
        <v>118</v>
      </c>
    </row>
    <row r="59" spans="1:5" ht="15.75" customHeight="1">
      <c r="A59" s="66"/>
      <c r="B59" s="67" t="e">
        <f>IF('TNFC Ore Calculator'!L28 = 1,TRUE,FALSE)</f>
        <v>#DIV/0!</v>
      </c>
      <c r="C59" s="66" t="s">
        <v>104</v>
      </c>
    </row>
    <row r="60" spans="1:5" ht="15.75" customHeight="1">
      <c r="A60" s="66"/>
    </row>
    <row r="61" spans="1:5" ht="15.75" customHeight="1">
      <c r="A61" s="66" t="s">
        <v>130</v>
      </c>
      <c r="B61" s="67" t="e">
        <f>IF('TNFC Ore Calculator'!K33&gt;=0.5,TRUE,FALSE)</f>
        <v>#DIV/0!</v>
      </c>
      <c r="C61" s="66" t="s">
        <v>124</v>
      </c>
    </row>
    <row r="62" spans="1:5" ht="15.75" customHeight="1">
      <c r="A62" s="66"/>
      <c r="B62" s="67" t="e">
        <f>IF('TNFC Ore Calculator'!K33&lt;=0.55,TRUE,FALSE)</f>
        <v>#DIV/0!</v>
      </c>
      <c r="C62" s="66" t="s">
        <v>125</v>
      </c>
    </row>
    <row r="63" spans="1:5" ht="15.75" customHeight="1">
      <c r="A63" s="66"/>
      <c r="B63" s="67" t="e">
        <f>IF('TNFC Ore Calculator'!K34&gt;=0.1,TRUE,FALSE)</f>
        <v>#DIV/0!</v>
      </c>
      <c r="C63" s="66" t="s">
        <v>131</v>
      </c>
      <c r="E63" s="67" t="e">
        <f>AND(B61=TRUE,B62=TRUE,B63=TRUE,B64=TRUE,B65=TRUE,B66=TRUE,B67=TRUE,B68=TRUE,B69=TRUE)</f>
        <v>#DIV/0!</v>
      </c>
    </row>
    <row r="64" spans="1:5" ht="15.75" customHeight="1">
      <c r="A64" s="66"/>
      <c r="B64" s="67" t="e">
        <f>IF('TNFC Ore Calculator'!K34&lt;=0.15,TRUE,FALSE)</f>
        <v>#DIV/0!</v>
      </c>
      <c r="C64" s="66" t="s">
        <v>132</v>
      </c>
    </row>
    <row r="65" spans="1:3" ht="15.75" customHeight="1">
      <c r="A65" s="66"/>
      <c r="B65" s="67" t="e">
        <f>IF('TNFC Ore Calculator'!K35&gt;=0.1,TRUE,FALSE)</f>
        <v>#DIV/0!</v>
      </c>
      <c r="C65" s="66" t="s">
        <v>133</v>
      </c>
    </row>
    <row r="66" spans="1:3" ht="15.75" customHeight="1">
      <c r="A66" s="66"/>
      <c r="B66" s="67" t="e">
        <f>IF('TNFC Ore Calculator'!K35&lt;=0.15,TRUE,FALSE)</f>
        <v>#DIV/0!</v>
      </c>
      <c r="C66" s="66" t="s">
        <v>134</v>
      </c>
    </row>
    <row r="67" spans="1:3" ht="15.75" customHeight="1">
      <c r="A67" s="66"/>
      <c r="B67" s="67" t="e">
        <f>IF('TNFC Ore Calculator'!K36&gt;=0.2,TRUE,FALSE)</f>
        <v>#DIV/0!</v>
      </c>
      <c r="C67" s="66" t="s">
        <v>117</v>
      </c>
    </row>
    <row r="68" spans="1:3" ht="15.75" customHeight="1">
      <c r="A68" s="66"/>
      <c r="B68" s="67" t="e">
        <f>IF('TNFC Ore Calculator'!K36&lt;=0.25,TRUE,FALSE)</f>
        <v>#DIV/0!</v>
      </c>
      <c r="C68" s="66" t="s">
        <v>118</v>
      </c>
    </row>
    <row r="69" spans="1:3" ht="15.75" customHeight="1">
      <c r="A69" s="66"/>
      <c r="B69" s="67" t="e">
        <f>IF('TNFC Ore Calculator'!L33 = 1,TRUE,FALSE)</f>
        <v>#DIV/0!</v>
      </c>
      <c r="C69" s="66" t="s">
        <v>104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TNFC Ore Calculator</vt:lpstr>
      <vt:lpstr>Sheet2</vt:lpstr>
      <vt:lpstr>TotalUnits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 Mickelson</dc:creator>
  <cp:lastModifiedBy>Sven Mickelson</cp:lastModifiedBy>
  <dcterms:created xsi:type="dcterms:W3CDTF">2016-06-20T13:46:10Z</dcterms:created>
  <dcterms:modified xsi:type="dcterms:W3CDTF">2020-10-19T19:55:36Z</dcterms:modified>
</cp:coreProperties>
</file>